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-Wait-Time-Optimization\excel\"/>
    </mc:Choice>
  </mc:AlternateContent>
  <xr:revisionPtr revIDLastSave="0" documentId="13_ncr:1_{101DDD64-6568-437B-A51F-A744C5D597B3}" xr6:coauthVersionLast="47" xr6:coauthVersionMax="47" xr10:uidLastSave="{00000000-0000-0000-0000-000000000000}"/>
  <bookViews>
    <workbookView xWindow="-108" yWindow="-108" windowWidth="23256" windowHeight="12576" activeTab="2" xr2:uid="{73AEE8ED-9511-47C6-BDFA-ADF60515B32A}"/>
  </bookViews>
  <sheets>
    <sheet name="Current State" sheetId="1" r:id="rId1"/>
    <sheet name="Proposed" sheetId="4" r:id="rId2"/>
    <sheet name="ROI Mode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5" l="1"/>
  <c r="C23" i="5" s="1"/>
  <c r="B22" i="5"/>
  <c r="C22" i="5" s="1"/>
  <c r="B21" i="5"/>
  <c r="D21" i="5" s="1"/>
  <c r="B20" i="5"/>
  <c r="D20" i="5" s="1"/>
  <c r="C15" i="5"/>
  <c r="B15" i="5"/>
  <c r="B14" i="5"/>
  <c r="C14" i="5"/>
  <c r="C13" i="5"/>
  <c r="B13" i="5"/>
  <c r="B9" i="5"/>
  <c r="B8" i="5"/>
  <c r="B7" i="5"/>
  <c r="B21" i="4"/>
  <c r="B20" i="4"/>
  <c r="B19" i="4"/>
  <c r="B18" i="4"/>
  <c r="B11" i="4"/>
  <c r="B10" i="4"/>
  <c r="B9" i="4"/>
  <c r="B29" i="1"/>
  <c r="B28" i="1"/>
  <c r="B27" i="1"/>
  <c r="B21" i="1"/>
  <c r="B20" i="1"/>
  <c r="B19" i="1"/>
  <c r="B13" i="1"/>
  <c r="B12" i="1"/>
  <c r="B11" i="1"/>
  <c r="B10" i="1"/>
  <c r="B16" i="5" l="1"/>
  <c r="D14" i="5"/>
  <c r="D13" i="5"/>
  <c r="E13" i="5" s="1"/>
  <c r="C20" i="5"/>
  <c r="C16" i="5"/>
  <c r="D15" i="5"/>
  <c r="D22" i="5"/>
  <c r="D23" i="5"/>
  <c r="C21" i="5"/>
  <c r="E14" i="5" l="1"/>
  <c r="D16" i="5"/>
  <c r="E15" i="5"/>
</calcChain>
</file>

<file path=xl/sharedStrings.xml><?xml version="1.0" encoding="utf-8"?>
<sst xmlns="http://schemas.openxmlformats.org/spreadsheetml/2006/main" count="90" uniqueCount="78">
  <si>
    <t>Current State Analysis</t>
  </si>
  <si>
    <t>SECTION A — Current Staffing Costs</t>
  </si>
  <si>
    <t>Item</t>
  </si>
  <si>
    <t>Value</t>
  </si>
  <si>
    <t>Doctors on Mon Evening shift</t>
  </si>
  <si>
    <t>Nurses on Mon Evening shift</t>
  </si>
  <si>
    <t>Doctor hourly rate (₹)</t>
  </si>
  <si>
    <t>Nurse hourly rate (₹)</t>
  </si>
  <si>
    <t>Shift duration (hours)</t>
  </si>
  <si>
    <t>Mon Evening doctor cost/week</t>
  </si>
  <si>
    <t>Mon Evening nurse cost/week</t>
  </si>
  <si>
    <t>Total Mon Evening cost/week</t>
  </si>
  <si>
    <t>Annual Mon Evening cost</t>
  </si>
  <si>
    <t>SECTION B — Current Revenue Loss</t>
  </si>
  <si>
    <t>Total LWBS patients (9 months)</t>
  </si>
  <si>
    <t>Revenue lost per patient (₹)</t>
  </si>
  <si>
    <t>Total revenue lost (9 months)</t>
  </si>
  <si>
    <t>Monthly average loss</t>
  </si>
  <si>
    <t>Annual projected loss</t>
  </si>
  <si>
    <t>SECTION C — Peak Window Focus (Monday 18:00–22:00)</t>
  </si>
  <si>
    <t>Monday 18-22 total patients</t>
  </si>
  <si>
    <t>Monday 18-22 LWBS rate</t>
  </si>
  <si>
    <t>Monday 18-22 LWBS patients (estimated)</t>
  </si>
  <si>
    <t>Revenue lost Mon Eve (9 months)</t>
  </si>
  <si>
    <t>Revenue lost Mon Eve (annual)</t>
  </si>
  <si>
    <t>Proposed Staffing Model</t>
  </si>
  <si>
    <t>SECTION A — Additional Headcount Cost</t>
  </si>
  <si>
    <t>Additional doctors</t>
  </si>
  <si>
    <t>Additional nurses</t>
  </si>
  <si>
    <t>Doctor annual salary (₹)</t>
  </si>
  <si>
    <t>Nurse annual salary (₹)</t>
  </si>
  <si>
    <t>Total additional doctor cost</t>
  </si>
  <si>
    <t>Total additional nurse cost</t>
  </si>
  <si>
    <t>Total additional annual cost</t>
  </si>
  <si>
    <t>SECTION B — Scope of Fix</t>
  </si>
  <si>
    <t>Target window</t>
  </si>
  <si>
    <t>Mon 18:00-22:00</t>
  </si>
  <si>
    <t>Current LWBS rate in window</t>
  </si>
  <si>
    <t>Expected LWBS rate after fix (system avg)</t>
  </si>
  <si>
    <t>LWBS rate reduction</t>
  </si>
  <si>
    <t>Patients in window per year (annualized)</t>
  </si>
  <si>
    <t>Patients recovered per year (conservative)</t>
  </si>
  <si>
    <t>Revenue recovered — conservative estimate</t>
  </si>
  <si>
    <t>Note: Sheet 3 ROI model uses ₹70,00,000 as the headline</t>
  </si>
  <si>
    <t>recovery figure. This is based on reducing LWBS across all</t>
  </si>
  <si>
    <t>evening hours, not just the Monday 18-22 window alone</t>
  </si>
  <si>
    <t>The calculation above is the conservative bottom-up estimate.</t>
  </si>
  <si>
    <t>ROI Model — Staffing Investment</t>
  </si>
  <si>
    <t>SECTION A — Investment Summary</t>
  </si>
  <si>
    <t>Annual additional cost</t>
  </si>
  <si>
    <t>Annual revenue recovered</t>
  </si>
  <si>
    <t>Net annual benefit</t>
  </si>
  <si>
    <t>ROI</t>
  </si>
  <si>
    <t>Payback period (months)</t>
  </si>
  <si>
    <t>SECTION B — 3-Year Projection</t>
  </si>
  <si>
    <t>Year</t>
  </si>
  <si>
    <t>Cost</t>
  </si>
  <si>
    <t>Revenue</t>
  </si>
  <si>
    <t>Net Benefit</t>
  </si>
  <si>
    <t>Cumulative</t>
  </si>
  <si>
    <t>Year 1</t>
  </si>
  <si>
    <t>Year 2</t>
  </si>
  <si>
    <t>Year 3</t>
  </si>
  <si>
    <t>Total</t>
  </si>
  <si>
    <t>SECTION C — Sensitivity Analysis</t>
  </si>
  <si>
    <t>Recovery Scenario</t>
  </si>
  <si>
    <t>Revenue Recovered</t>
  </si>
  <si>
    <t>50% of plan</t>
  </si>
  <si>
    <t>75% of plan</t>
  </si>
  <si>
    <t>100% — base case</t>
  </si>
  <si>
    <t>125% upside</t>
  </si>
  <si>
    <t>KEY RECOMMENDATION</t>
  </si>
  <si>
    <t>+1 Doctor   +2 Nurses   Monday 18:00–22:00 only</t>
  </si>
  <si>
    <t>Investment:    ₹15 lakhs/year</t>
  </si>
  <si>
    <t>Return:         ₹70 lakhs/year</t>
  </si>
  <si>
    <t>ROI:              367%</t>
  </si>
  <si>
    <t>Payback:       2.57 months</t>
  </si>
  <si>
    <t>Even at 50% recovery — ROI remains 133%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</si>
</sst>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##,##0"/>
    <numFmt numFmtId="165" formatCode="&quot;₹&quot;###,##0\ "/>
  </numFmts>
  <fonts count="1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9C0006"/>
      <name val="Aptos Narrow"/>
      <family val="2"/>
      <scheme val="minor"/>
    </font>
    <font>
      <b/>
      <sz val="12"/>
      <color rgb="FF9C000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sz val="12"/>
      <color rgb="FF375623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3"/>
      <color rgb="FF375623"/>
      <name val="Aptos Narrow"/>
      <family val="2"/>
      <scheme val="minor"/>
    </font>
    <font>
      <b/>
      <sz val="14"/>
      <color rgb="FF37562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i/>
      <sz val="11"/>
      <color rgb="FF7F6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ck">
        <color rgb="FF2F5597"/>
      </left>
      <right/>
      <top/>
      <bottom/>
      <diagonal/>
    </border>
    <border>
      <left style="thick">
        <color rgb="FF2F5597"/>
      </left>
      <right/>
      <top style="thick">
        <color rgb="FF2F5597"/>
      </top>
      <bottom/>
      <diagonal/>
    </border>
    <border>
      <left/>
      <right/>
      <top style="thick">
        <color rgb="FF2F5597"/>
      </top>
      <bottom/>
      <diagonal/>
    </border>
    <border>
      <left/>
      <right style="thick">
        <color rgb="FF2F5597"/>
      </right>
      <top style="thick">
        <color rgb="FF2F5597"/>
      </top>
      <bottom/>
      <diagonal/>
    </border>
    <border>
      <left/>
      <right style="thick">
        <color rgb="FF2F5597"/>
      </right>
      <top/>
      <bottom/>
      <diagonal/>
    </border>
    <border>
      <left style="thick">
        <color rgb="FF2F5597"/>
      </left>
      <right/>
      <top/>
      <bottom style="thick">
        <color rgb="FF2F5597"/>
      </bottom>
      <diagonal/>
    </border>
    <border>
      <left/>
      <right/>
      <top/>
      <bottom style="thick">
        <color rgb="FF2F5597"/>
      </bottom>
      <diagonal/>
    </border>
    <border>
      <left/>
      <right style="thick">
        <color rgb="FF2F5597"/>
      </right>
      <top/>
      <bottom style="thick">
        <color rgb="FF2F5597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rgb="FF375623"/>
      </top>
      <bottom style="thick">
        <color rgb="FF375623"/>
      </bottom>
      <diagonal/>
    </border>
    <border>
      <left/>
      <right style="thick">
        <color rgb="FF375623"/>
      </right>
      <top style="thick">
        <color rgb="FF375623"/>
      </top>
      <bottom style="thick">
        <color rgb="FF375623"/>
      </bottom>
      <diagonal/>
    </border>
    <border>
      <left/>
      <right/>
      <top style="thick">
        <color rgb="FF1F3864"/>
      </top>
      <bottom style="thick">
        <color rgb="FFD6E4F7"/>
      </bottom>
      <diagonal/>
    </border>
    <border>
      <left/>
      <right style="thick">
        <color rgb="FF1F3864"/>
      </right>
      <top style="thick">
        <color rgb="FF1F3864"/>
      </top>
      <bottom style="thick">
        <color rgb="FFD6E4F7"/>
      </bottom>
      <diagonal/>
    </border>
    <border>
      <left/>
      <right/>
      <top style="thick">
        <color rgb="FFD6E4F7"/>
      </top>
      <bottom style="thick">
        <color rgb="FFD6E4F7"/>
      </bottom>
      <diagonal/>
    </border>
    <border>
      <left/>
      <right style="thick">
        <color rgb="FF1F3864"/>
      </right>
      <top style="thick">
        <color rgb="FFD6E4F7"/>
      </top>
      <bottom style="thick">
        <color rgb="FFD6E4F7"/>
      </bottom>
      <diagonal/>
    </border>
    <border>
      <left style="thick">
        <color rgb="FF2F5597"/>
      </left>
      <right/>
      <top style="thick">
        <color rgb="FF375623"/>
      </top>
      <bottom style="thick">
        <color rgb="FF375623"/>
      </bottom>
      <diagonal/>
    </border>
    <border>
      <left style="thick">
        <color rgb="FF2F5597"/>
      </left>
      <right/>
      <top style="thick">
        <color rgb="FF1F3864"/>
      </top>
      <bottom style="thick">
        <color rgb="FFD6E4F7"/>
      </bottom>
      <diagonal/>
    </border>
    <border>
      <left style="thick">
        <color rgb="FF2F5597"/>
      </left>
      <right/>
      <top style="thick">
        <color rgb="FFD6E4F7"/>
      </top>
      <bottom style="thick">
        <color rgb="FFD6E4F7"/>
      </bottom>
      <diagonal/>
    </border>
    <border>
      <left style="thick">
        <color rgb="FF2F5597"/>
      </left>
      <right/>
      <top style="thick">
        <color rgb="FFD6E4F7"/>
      </top>
      <bottom style="thick">
        <color rgb="FF2F5597"/>
      </bottom>
      <diagonal/>
    </border>
    <border>
      <left/>
      <right/>
      <top style="thick">
        <color rgb="FFD6E4F7"/>
      </top>
      <bottom style="thick">
        <color rgb="FF2F5597"/>
      </bottom>
      <diagonal/>
    </border>
    <border>
      <left/>
      <right style="thick">
        <color rgb="FF1F3864"/>
      </right>
      <top style="thick">
        <color rgb="FFD6E4F7"/>
      </top>
      <bottom style="thick">
        <color rgb="FF2F5597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4" fillId="6" borderId="1" xfId="0" applyNumberFormat="1" applyFont="1" applyFill="1" applyBorder="1"/>
    <xf numFmtId="164" fontId="7" fillId="7" borderId="1" xfId="0" applyNumberFormat="1" applyFont="1" applyFill="1" applyBorder="1"/>
    <xf numFmtId="0" fontId="4" fillId="6" borderId="1" xfId="0" applyFont="1" applyFill="1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3" fillId="4" borderId="1" xfId="0" applyFont="1" applyFill="1" applyBorder="1"/>
    <xf numFmtId="0" fontId="3" fillId="4" borderId="0" xfId="0" applyFont="1" applyFill="1" applyBorder="1"/>
    <xf numFmtId="1" fontId="0" fillId="0" borderId="0" xfId="0" applyNumberFormat="1" applyBorder="1"/>
    <xf numFmtId="0" fontId="0" fillId="5" borderId="1" xfId="0" applyFill="1" applyBorder="1"/>
    <xf numFmtId="0" fontId="0" fillId="5" borderId="0" xfId="0" applyFill="1" applyBorder="1"/>
    <xf numFmtId="164" fontId="0" fillId="0" borderId="0" xfId="0" applyNumberFormat="1" applyBorder="1"/>
    <xf numFmtId="164" fontId="0" fillId="5" borderId="0" xfId="0" applyNumberFormat="1" applyFill="1" applyBorder="1"/>
    <xf numFmtId="0" fontId="0" fillId="6" borderId="1" xfId="0" applyFill="1" applyBorder="1"/>
    <xf numFmtId="0" fontId="5" fillId="0" borderId="0" xfId="0" applyFont="1" applyBorder="1"/>
    <xf numFmtId="10" fontId="6" fillId="7" borderId="0" xfId="0" applyNumberFormat="1" applyFont="1" applyFill="1" applyBorder="1"/>
    <xf numFmtId="0" fontId="5" fillId="0" borderId="6" xfId="0" applyFont="1" applyBorder="1"/>
    <xf numFmtId="164" fontId="6" fillId="7" borderId="6" xfId="0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165" fontId="8" fillId="6" borderId="9" xfId="0" applyNumberFormat="1" applyFont="1" applyFill="1" applyBorder="1"/>
    <xf numFmtId="164" fontId="10" fillId="8" borderId="9" xfId="0" applyNumberFormat="1" applyFont="1" applyFill="1" applyBorder="1"/>
    <xf numFmtId="165" fontId="0" fillId="0" borderId="0" xfId="0" applyNumberFormat="1" applyBorder="1"/>
    <xf numFmtId="165" fontId="0" fillId="5" borderId="0" xfId="0" applyNumberFormat="1" applyFill="1" applyBorder="1"/>
    <xf numFmtId="165" fontId="4" fillId="6" borderId="0" xfId="0" applyNumberFormat="1" applyFont="1" applyFill="1" applyBorder="1"/>
    <xf numFmtId="10" fontId="9" fillId="8" borderId="0" xfId="0" applyNumberFormat="1" applyFont="1" applyFill="1" applyBorder="1"/>
    <xf numFmtId="10" fontId="4" fillId="6" borderId="0" xfId="0" applyNumberFormat="1" applyFont="1" applyFill="1" applyBorder="1"/>
    <xf numFmtId="0" fontId="4" fillId="6" borderId="0" xfId="0" applyFont="1" applyFill="1" applyBorder="1"/>
    <xf numFmtId="0" fontId="5" fillId="0" borderId="1" xfId="0" applyFont="1" applyBorder="1"/>
    <xf numFmtId="0" fontId="11" fillId="0" borderId="1" xfId="0" applyFont="1" applyBorder="1"/>
    <xf numFmtId="0" fontId="11" fillId="0" borderId="6" xfId="0" applyFont="1" applyBorder="1"/>
    <xf numFmtId="164" fontId="9" fillId="8" borderId="10" xfId="0" applyNumberFormat="1" applyFont="1" applyFill="1" applyBorder="1"/>
    <xf numFmtId="10" fontId="9" fillId="8" borderId="11" xfId="0" applyNumberFormat="1" applyFont="1" applyFill="1" applyBorder="1"/>
    <xf numFmtId="0" fontId="0" fillId="4" borderId="0" xfId="0" applyFill="1" applyBorder="1"/>
    <xf numFmtId="0" fontId="0" fillId="4" borderId="5" xfId="0" applyFill="1" applyBorder="1"/>
    <xf numFmtId="164" fontId="12" fillId="8" borderId="0" xfId="0" applyNumberFormat="1" applyFont="1" applyFill="1" applyBorder="1"/>
    <xf numFmtId="10" fontId="13" fillId="8" borderId="0" xfId="0" applyNumberFormat="1" applyFont="1" applyFill="1" applyBorder="1"/>
    <xf numFmtId="2" fontId="8" fillId="6" borderId="0" xfId="0" applyNumberFormat="1" applyFont="1" applyFill="1" applyBorder="1"/>
    <xf numFmtId="0" fontId="14" fillId="2" borderId="1" xfId="0" applyFont="1" applyFill="1" applyBorder="1"/>
    <xf numFmtId="0" fontId="14" fillId="2" borderId="0" xfId="0" applyFont="1" applyFill="1" applyBorder="1"/>
    <xf numFmtId="0" fontId="14" fillId="2" borderId="5" xfId="0" applyFont="1" applyFill="1" applyBorder="1"/>
    <xf numFmtId="164" fontId="0" fillId="6" borderId="0" xfId="0" applyNumberFormat="1" applyFill="1" applyBorder="1"/>
    <xf numFmtId="164" fontId="4" fillId="8" borderId="0" xfId="0" applyNumberFormat="1" applyFont="1" applyFill="1" applyBorder="1"/>
    <xf numFmtId="164" fontId="4" fillId="8" borderId="5" xfId="0" applyNumberFormat="1" applyFont="1" applyFill="1" applyBorder="1"/>
    <xf numFmtId="0" fontId="0" fillId="9" borderId="1" xfId="0" applyFill="1" applyBorder="1"/>
    <xf numFmtId="0" fontId="1" fillId="2" borderId="1" xfId="0" applyFont="1" applyFill="1" applyBorder="1"/>
    <xf numFmtId="164" fontId="1" fillId="2" borderId="0" xfId="0" applyNumberFormat="1" applyFont="1" applyFill="1" applyBorder="1"/>
    <xf numFmtId="10" fontId="0" fillId="6" borderId="0" xfId="0" applyNumberFormat="1" applyFill="1" applyBorder="1"/>
    <xf numFmtId="0" fontId="9" fillId="8" borderId="16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0" fillId="8" borderId="18" xfId="0" quotePrefix="1" applyFont="1" applyFill="1" applyBorder="1" applyAlignment="1">
      <alignment horizontal="center" vertical="center"/>
    </xf>
    <xf numFmtId="0" fontId="10" fillId="8" borderId="14" xfId="0" quotePrefix="1" applyFont="1" applyFill="1" applyBorder="1" applyAlignment="1">
      <alignment horizontal="center" vertical="center"/>
    </xf>
    <xf numFmtId="0" fontId="10" fillId="8" borderId="15" xfId="0" quotePrefix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17" fillId="10" borderId="19" xfId="0" applyFont="1" applyFill="1" applyBorder="1" applyAlignment="1">
      <alignment horizontal="center"/>
    </xf>
    <xf numFmtId="0" fontId="17" fillId="10" borderId="20" xfId="0" applyFont="1" applyFill="1" applyBorder="1" applyAlignment="1">
      <alignment horizontal="center"/>
    </xf>
    <xf numFmtId="0" fontId="17" fillId="10" borderId="2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0" xfId="0" applyFont="1" applyFill="1" applyBorder="1"/>
    <xf numFmtId="0" fontId="16" fillId="9" borderId="18" xfId="0" applyFont="1" applyFill="1" applyBorder="1" applyAlignment="1">
      <alignment horizontal="center"/>
    </xf>
    <xf numFmtId="0" fontId="16" fillId="9" borderId="14" xfId="0" applyFont="1" applyFill="1" applyBorder="1" applyAlignment="1">
      <alignment horizontal="center"/>
    </xf>
    <xf numFmtId="0" fontId="16" fillId="9" borderId="15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375623"/>
      </font>
    </dxf>
    <dxf>
      <font>
        <color rgb="FFC00000"/>
      </font>
    </dxf>
  </dxfs>
  <tableStyles count="0" defaultTableStyle="TableStyleMedium2" defaultPivotStyle="PivotStyleLight16"/>
  <colors>
    <mruColors>
      <color rgb="FF1F3864"/>
      <color rgb="FF2F5597"/>
      <color rgb="FFD6E4F7"/>
      <color rgb="FF7F6000"/>
      <color rgb="FFFFF2CC"/>
      <color rgb="FF375623"/>
      <color rgb="FFFFFCBD"/>
      <color rgb="FFF5F9FF"/>
      <color rgb="FFC6EFCE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CE5E-BF78-450A-B7CD-B9128369AE16}">
  <sheetPr>
    <tabColor rgb="FFFF0000"/>
  </sheetPr>
  <dimension ref="A1:D30"/>
  <sheetViews>
    <sheetView zoomScaleNormal="100" workbookViewId="0">
      <pane ySplit="1" topLeftCell="A6" activePane="bottomLeft" state="frozen"/>
      <selection pane="bottomLeft" activeCell="A3" sqref="A3:D3"/>
    </sheetView>
  </sheetViews>
  <sheetFormatPr defaultRowHeight="14.4"/>
  <cols>
    <col min="1" max="1" width="42.77734375" customWidth="1"/>
    <col min="2" max="2" width="20.77734375" customWidth="1"/>
    <col min="3" max="4" width="15.77734375" customWidth="1"/>
  </cols>
  <sheetData>
    <row r="1" spans="1:4" s="21" customFormat="1" ht="28.05" customHeight="1" thickTop="1">
      <c r="A1" s="51" t="s">
        <v>0</v>
      </c>
      <c r="B1" s="52"/>
      <c r="C1" s="52"/>
      <c r="D1" s="53"/>
    </row>
    <row r="2" spans="1:4" ht="7.95" customHeight="1">
      <c r="A2" s="4"/>
      <c r="B2" s="5"/>
      <c r="C2" s="5"/>
      <c r="D2" s="6"/>
    </row>
    <row r="3" spans="1:4" ht="19.95" customHeight="1">
      <c r="A3" s="54" t="s">
        <v>1</v>
      </c>
      <c r="B3" s="55"/>
      <c r="C3" s="55"/>
      <c r="D3" s="56"/>
    </row>
    <row r="4" spans="1:4" ht="18" customHeight="1">
      <c r="A4" s="7" t="s">
        <v>2</v>
      </c>
      <c r="B4" s="8" t="s">
        <v>3</v>
      </c>
      <c r="C4" s="5"/>
      <c r="D4" s="6"/>
    </row>
    <row r="5" spans="1:4">
      <c r="A5" s="4" t="s">
        <v>4</v>
      </c>
      <c r="B5" s="9">
        <v>2</v>
      </c>
      <c r="C5" s="5"/>
      <c r="D5" s="6"/>
    </row>
    <row r="6" spans="1:4">
      <c r="A6" s="10" t="s">
        <v>5</v>
      </c>
      <c r="B6" s="11">
        <v>3</v>
      </c>
      <c r="C6" s="5"/>
      <c r="D6" s="6"/>
    </row>
    <row r="7" spans="1:4">
      <c r="A7" s="4" t="s">
        <v>6</v>
      </c>
      <c r="B7" s="12">
        <v>2000</v>
      </c>
      <c r="C7" s="5"/>
      <c r="D7" s="6"/>
    </row>
    <row r="8" spans="1:4">
      <c r="A8" s="10" t="s">
        <v>7</v>
      </c>
      <c r="B8" s="13">
        <v>800</v>
      </c>
      <c r="C8" s="5"/>
      <c r="D8" s="6"/>
    </row>
    <row r="9" spans="1:4">
      <c r="A9" s="4" t="s">
        <v>8</v>
      </c>
      <c r="B9" s="5">
        <v>4</v>
      </c>
      <c r="C9" s="5"/>
      <c r="D9" s="6"/>
    </row>
    <row r="10" spans="1:4">
      <c r="A10" s="14" t="s">
        <v>9</v>
      </c>
      <c r="B10" s="1">
        <f>B5*B7*B9</f>
        <v>16000</v>
      </c>
      <c r="C10" s="5"/>
      <c r="D10" s="6"/>
    </row>
    <row r="11" spans="1:4">
      <c r="A11" s="14" t="s">
        <v>10</v>
      </c>
      <c r="B11" s="1">
        <f>B6*B8*B9</f>
        <v>9600</v>
      </c>
      <c r="C11" s="5"/>
      <c r="D11" s="6"/>
    </row>
    <row r="12" spans="1:4">
      <c r="A12" s="14" t="s">
        <v>11</v>
      </c>
      <c r="B12" s="1">
        <f>B10+B11</f>
        <v>25600</v>
      </c>
      <c r="C12" s="5"/>
      <c r="D12" s="6"/>
    </row>
    <row r="13" spans="1:4">
      <c r="A13" s="14" t="s">
        <v>12</v>
      </c>
      <c r="B13" s="1">
        <f>B12 * 52</f>
        <v>1331200</v>
      </c>
      <c r="C13" s="5"/>
      <c r="D13" s="6"/>
    </row>
    <row r="14" spans="1:4" ht="7.95" customHeight="1">
      <c r="A14" s="4"/>
      <c r="B14" s="5"/>
      <c r="C14" s="5"/>
      <c r="D14" s="6"/>
    </row>
    <row r="15" spans="1:4" ht="19.95" customHeight="1">
      <c r="A15" s="54" t="s">
        <v>13</v>
      </c>
      <c r="B15" s="55"/>
      <c r="C15" s="55"/>
      <c r="D15" s="56"/>
    </row>
    <row r="16" spans="1:4">
      <c r="A16" s="7" t="s">
        <v>2</v>
      </c>
      <c r="B16" s="8" t="s">
        <v>3</v>
      </c>
      <c r="C16" s="5"/>
      <c r="D16" s="6"/>
    </row>
    <row r="17" spans="1:4">
      <c r="A17" s="4" t="s">
        <v>14</v>
      </c>
      <c r="B17" s="15">
        <v>4047</v>
      </c>
      <c r="C17" s="5"/>
      <c r="D17" s="6"/>
    </row>
    <row r="18" spans="1:4">
      <c r="A18" s="10" t="s">
        <v>15</v>
      </c>
      <c r="B18" s="13">
        <v>5000</v>
      </c>
      <c r="C18" s="5"/>
      <c r="D18" s="6"/>
    </row>
    <row r="19" spans="1:4" ht="15.6">
      <c r="A19" s="4" t="s">
        <v>16</v>
      </c>
      <c r="B19" s="2">
        <f>B17*B18</f>
        <v>20235000</v>
      </c>
      <c r="C19" s="5"/>
      <c r="D19" s="6"/>
    </row>
    <row r="20" spans="1:4">
      <c r="A20" s="10" t="s">
        <v>17</v>
      </c>
      <c r="B20" s="1">
        <f>B19/9</f>
        <v>2248333.3333333335</v>
      </c>
      <c r="C20" s="5"/>
      <c r="D20" s="6"/>
    </row>
    <row r="21" spans="1:4" ht="15.6">
      <c r="A21" s="4" t="s">
        <v>18</v>
      </c>
      <c r="B21" s="2">
        <f>B20 *12</f>
        <v>26980000</v>
      </c>
      <c r="C21" s="5"/>
      <c r="D21" s="6"/>
    </row>
    <row r="22" spans="1:4" ht="7.95" customHeight="1">
      <c r="A22" s="4"/>
      <c r="B22" s="5"/>
      <c r="C22" s="5"/>
      <c r="D22" s="6"/>
    </row>
    <row r="23" spans="1:4" ht="19.95" customHeight="1">
      <c r="A23" s="54" t="s">
        <v>19</v>
      </c>
      <c r="B23" s="55"/>
      <c r="C23" s="55"/>
      <c r="D23" s="56"/>
    </row>
    <row r="24" spans="1:4">
      <c r="A24" s="7" t="s">
        <v>2</v>
      </c>
      <c r="B24" s="8" t="s">
        <v>3</v>
      </c>
      <c r="C24" s="5"/>
      <c r="D24" s="6"/>
    </row>
    <row r="25" spans="1:4">
      <c r="A25" s="4" t="s">
        <v>20</v>
      </c>
      <c r="B25" s="5">
        <v>862</v>
      </c>
      <c r="C25" s="5"/>
      <c r="D25" s="6"/>
    </row>
    <row r="26" spans="1:4">
      <c r="A26" s="10" t="s">
        <v>21</v>
      </c>
      <c r="B26" s="16">
        <v>0.27839999999999998</v>
      </c>
      <c r="C26" s="5"/>
      <c r="D26" s="6"/>
    </row>
    <row r="27" spans="1:4">
      <c r="A27" s="4" t="s">
        <v>22</v>
      </c>
      <c r="B27" s="3">
        <f>ROUND(B25 *B26,0)</f>
        <v>240</v>
      </c>
      <c r="C27" s="5"/>
      <c r="D27" s="6"/>
    </row>
    <row r="28" spans="1:4">
      <c r="A28" s="10" t="s">
        <v>23</v>
      </c>
      <c r="B28" s="1">
        <f>B27 *B18</f>
        <v>1200000</v>
      </c>
      <c r="C28" s="5"/>
      <c r="D28" s="6"/>
    </row>
    <row r="29" spans="1:4" ht="15" thickBot="1">
      <c r="A29" s="17" t="s">
        <v>24</v>
      </c>
      <c r="B29" s="18">
        <f>B28*(12/9)</f>
        <v>1600000</v>
      </c>
      <c r="C29" s="19"/>
      <c r="D29" s="20"/>
    </row>
    <row r="30" spans="1:4" ht="15" thickTop="1"/>
  </sheetData>
  <mergeCells count="4">
    <mergeCell ref="A1:D1"/>
    <mergeCell ref="A3:D3"/>
    <mergeCell ref="A15:D15"/>
    <mergeCell ref="A23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56A0-2B37-42EF-99DC-C7298EEE9794}">
  <sheetPr>
    <tabColor rgb="FFFFA500"/>
  </sheetPr>
  <dimension ref="A1:D27"/>
  <sheetViews>
    <sheetView workbookViewId="0">
      <pane ySplit="1" topLeftCell="A4" activePane="bottomLeft" state="frozen"/>
      <selection pane="bottomLeft" sqref="A1:D1"/>
    </sheetView>
  </sheetViews>
  <sheetFormatPr defaultRowHeight="14.4"/>
  <cols>
    <col min="1" max="1" width="50.88671875" bestFit="1" customWidth="1"/>
    <col min="2" max="2" width="20.77734375" customWidth="1"/>
    <col min="3" max="4" width="15.77734375" customWidth="1"/>
  </cols>
  <sheetData>
    <row r="1" spans="1:4" s="21" customFormat="1" ht="28.05" customHeight="1" thickTop="1">
      <c r="A1" s="51" t="s">
        <v>25</v>
      </c>
      <c r="B1" s="52"/>
      <c r="C1" s="52"/>
      <c r="D1" s="53"/>
    </row>
    <row r="2" spans="1:4" ht="7.95" customHeight="1">
      <c r="A2" s="4"/>
      <c r="B2" s="5"/>
      <c r="C2" s="5"/>
      <c r="D2" s="6"/>
    </row>
    <row r="3" spans="1:4" ht="19.95" customHeight="1">
      <c r="A3" s="54" t="s">
        <v>26</v>
      </c>
      <c r="B3" s="55"/>
      <c r="C3" s="55"/>
      <c r="D3" s="56"/>
    </row>
    <row r="4" spans="1:4" ht="18" customHeight="1">
      <c r="A4" s="7" t="s">
        <v>2</v>
      </c>
      <c r="B4" s="8" t="s">
        <v>3</v>
      </c>
      <c r="C4" s="5"/>
      <c r="D4" s="6"/>
    </row>
    <row r="5" spans="1:4">
      <c r="A5" s="4" t="s">
        <v>27</v>
      </c>
      <c r="B5" s="5">
        <v>1</v>
      </c>
      <c r="C5" s="5"/>
      <c r="D5" s="6"/>
    </row>
    <row r="6" spans="1:4">
      <c r="A6" s="10" t="s">
        <v>28</v>
      </c>
      <c r="B6" s="11">
        <v>2</v>
      </c>
      <c r="C6" s="5"/>
      <c r="D6" s="6"/>
    </row>
    <row r="7" spans="1:4">
      <c r="A7" s="4" t="s">
        <v>29</v>
      </c>
      <c r="B7" s="24">
        <v>800000</v>
      </c>
      <c r="C7" s="5"/>
      <c r="D7" s="6"/>
    </row>
    <row r="8" spans="1:4">
      <c r="A8" s="10" t="s">
        <v>30</v>
      </c>
      <c r="B8" s="25">
        <v>350000</v>
      </c>
      <c r="C8" s="5"/>
      <c r="D8" s="6"/>
    </row>
    <row r="9" spans="1:4">
      <c r="A9" s="14" t="s">
        <v>31</v>
      </c>
      <c r="B9" s="26">
        <f>B5*B7</f>
        <v>800000</v>
      </c>
      <c r="C9" s="5"/>
      <c r="D9" s="6"/>
    </row>
    <row r="10" spans="1:4">
      <c r="A10" s="14" t="s">
        <v>32</v>
      </c>
      <c r="B10" s="26">
        <f>B6*B8</f>
        <v>700000</v>
      </c>
      <c r="C10" s="5"/>
      <c r="D10" s="6"/>
    </row>
    <row r="11" spans="1:4" ht="16.2" thickBot="1">
      <c r="A11" s="14" t="s">
        <v>33</v>
      </c>
      <c r="B11" s="22">
        <f>B9+B10</f>
        <v>1500000</v>
      </c>
      <c r="C11" s="5"/>
      <c r="D11" s="6"/>
    </row>
    <row r="12" spans="1:4" ht="7.95" customHeight="1">
      <c r="A12" s="4"/>
      <c r="B12" s="5"/>
      <c r="C12" s="5"/>
      <c r="D12" s="6"/>
    </row>
    <row r="13" spans="1:4" ht="19.95" customHeight="1">
      <c r="A13" s="54" t="s">
        <v>34</v>
      </c>
      <c r="B13" s="55"/>
      <c r="C13" s="55"/>
      <c r="D13" s="56"/>
    </row>
    <row r="14" spans="1:4" ht="18" customHeight="1">
      <c r="A14" s="7" t="s">
        <v>2</v>
      </c>
      <c r="B14" s="8" t="s">
        <v>3</v>
      </c>
      <c r="C14" s="5"/>
      <c r="D14" s="6"/>
    </row>
    <row r="15" spans="1:4">
      <c r="A15" s="4" t="s">
        <v>35</v>
      </c>
      <c r="B15" s="5" t="s">
        <v>36</v>
      </c>
      <c r="C15" s="5"/>
      <c r="D15" s="6"/>
    </row>
    <row r="16" spans="1:4">
      <c r="A16" s="10" t="s">
        <v>37</v>
      </c>
      <c r="B16" s="16">
        <v>0.27839999999999998</v>
      </c>
      <c r="C16" s="5"/>
      <c r="D16" s="6"/>
    </row>
    <row r="17" spans="1:4">
      <c r="A17" s="4" t="s">
        <v>38</v>
      </c>
      <c r="B17" s="27">
        <v>0.1429</v>
      </c>
      <c r="C17" s="5"/>
      <c r="D17" s="6"/>
    </row>
    <row r="18" spans="1:4">
      <c r="A18" s="10" t="s">
        <v>39</v>
      </c>
      <c r="B18" s="28">
        <f>B16-B17</f>
        <v>0.13549999999999998</v>
      </c>
      <c r="C18" s="5"/>
      <c r="D18" s="6"/>
    </row>
    <row r="19" spans="1:4">
      <c r="A19" s="4" t="s">
        <v>40</v>
      </c>
      <c r="B19" s="29">
        <f>ROUND(862*(12/9),0)</f>
        <v>1149</v>
      </c>
      <c r="C19" s="5"/>
      <c r="D19" s="6"/>
    </row>
    <row r="20" spans="1:4">
      <c r="A20" s="10" t="s">
        <v>41</v>
      </c>
      <c r="B20" s="29">
        <f>ROUND(B19*B18,0)</f>
        <v>156</v>
      </c>
      <c r="C20" s="5"/>
      <c r="D20" s="6"/>
    </row>
    <row r="21" spans="1:4" ht="16.2" thickBot="1">
      <c r="A21" s="30" t="s">
        <v>42</v>
      </c>
      <c r="B21" s="23">
        <f>B20*5000</f>
        <v>780000</v>
      </c>
      <c r="C21" s="5"/>
      <c r="D21" s="6"/>
    </row>
    <row r="22" spans="1:4" ht="7.95" customHeight="1">
      <c r="A22" s="4"/>
      <c r="B22" s="5"/>
      <c r="C22" s="5"/>
      <c r="D22" s="6"/>
    </row>
    <row r="23" spans="1:4">
      <c r="A23" s="31" t="s">
        <v>43</v>
      </c>
      <c r="B23" s="5"/>
      <c r="C23" s="5"/>
      <c r="D23" s="6"/>
    </row>
    <row r="24" spans="1:4">
      <c r="A24" s="31" t="s">
        <v>44</v>
      </c>
      <c r="B24" s="5"/>
      <c r="C24" s="5"/>
      <c r="D24" s="6"/>
    </row>
    <row r="25" spans="1:4">
      <c r="A25" s="31" t="s">
        <v>45</v>
      </c>
      <c r="B25" s="5"/>
      <c r="C25" s="5"/>
      <c r="D25" s="6"/>
    </row>
    <row r="26" spans="1:4" ht="15" thickBot="1">
      <c r="A26" s="32" t="s">
        <v>46</v>
      </c>
      <c r="B26" s="19"/>
      <c r="C26" s="19"/>
      <c r="D26" s="20"/>
    </row>
    <row r="27" spans="1:4" ht="15" thickTop="1"/>
  </sheetData>
  <mergeCells count="3">
    <mergeCell ref="A1:D1"/>
    <mergeCell ref="A3:D3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C57C-9BB5-43D8-85D9-83B6D3D7E2B6}">
  <sheetPr>
    <tabColor rgb="FF70AD47"/>
  </sheetPr>
  <dimension ref="A1:E32"/>
  <sheetViews>
    <sheetView tabSelected="1" workbookViewId="0">
      <pane ySplit="1" topLeftCell="A16" activePane="bottomLeft" state="frozen"/>
      <selection pane="bottomLeft" activeCell="A27" sqref="A27:D27"/>
    </sheetView>
  </sheetViews>
  <sheetFormatPr defaultRowHeight="14.4"/>
  <cols>
    <col min="1" max="1" width="32.77734375" customWidth="1"/>
    <col min="2" max="5" width="20.77734375" customWidth="1"/>
  </cols>
  <sheetData>
    <row r="1" spans="1:5" ht="28.05" customHeight="1" thickTop="1">
      <c r="A1" s="72" t="s">
        <v>47</v>
      </c>
      <c r="B1" s="73"/>
      <c r="C1" s="73"/>
      <c r="D1" s="73"/>
      <c r="E1" s="74"/>
    </row>
    <row r="2" spans="1:5" ht="7.95" customHeight="1">
      <c r="A2" s="4"/>
      <c r="B2" s="5"/>
      <c r="C2" s="5"/>
      <c r="D2" s="5"/>
      <c r="E2" s="6"/>
    </row>
    <row r="3" spans="1:5" ht="19.95" customHeight="1">
      <c r="A3" s="75" t="s">
        <v>48</v>
      </c>
      <c r="B3" s="76"/>
      <c r="C3" s="76"/>
      <c r="D3" s="76"/>
      <c r="E3" s="77"/>
    </row>
    <row r="4" spans="1:5" ht="18" customHeight="1">
      <c r="A4" s="81" t="s">
        <v>2</v>
      </c>
      <c r="B4" s="82" t="s">
        <v>3</v>
      </c>
      <c r="C4" s="35"/>
      <c r="D4" s="35"/>
      <c r="E4" s="36"/>
    </row>
    <row r="5" spans="1:5">
      <c r="A5" s="4" t="s">
        <v>49</v>
      </c>
      <c r="B5" s="12">
        <v>1500000</v>
      </c>
      <c r="C5" s="5"/>
      <c r="D5" s="5"/>
      <c r="E5" s="6"/>
    </row>
    <row r="6" spans="1:5">
      <c r="A6" s="10" t="s">
        <v>50</v>
      </c>
      <c r="B6" s="13">
        <v>7000000</v>
      </c>
      <c r="C6" s="5"/>
      <c r="D6" s="5"/>
      <c r="E6" s="6"/>
    </row>
    <row r="7" spans="1:5" ht="17.399999999999999">
      <c r="A7" s="4" t="s">
        <v>51</v>
      </c>
      <c r="B7" s="37">
        <f>B6-B5</f>
        <v>5500000</v>
      </c>
      <c r="C7" s="5"/>
      <c r="D7" s="5"/>
      <c r="E7" s="6"/>
    </row>
    <row r="8" spans="1:5" ht="18">
      <c r="A8" s="10" t="s">
        <v>52</v>
      </c>
      <c r="B8" s="38">
        <f>(B6-B5)/B5</f>
        <v>3.6666666666666665</v>
      </c>
      <c r="C8" s="5"/>
      <c r="D8" s="5"/>
      <c r="E8" s="6"/>
    </row>
    <row r="9" spans="1:5" ht="15.6">
      <c r="A9" s="4" t="s">
        <v>53</v>
      </c>
      <c r="B9" s="39">
        <f>(B5/B6) * 12</f>
        <v>2.5714285714285712</v>
      </c>
      <c r="C9" s="5"/>
      <c r="D9" s="5"/>
      <c r="E9" s="6"/>
    </row>
    <row r="10" spans="1:5" ht="7.95" customHeight="1">
      <c r="A10" s="4"/>
      <c r="B10" s="5"/>
      <c r="C10" s="5"/>
      <c r="D10" s="5"/>
      <c r="E10" s="6"/>
    </row>
    <row r="11" spans="1:5" ht="19.95" customHeight="1">
      <c r="A11" s="75" t="s">
        <v>54</v>
      </c>
      <c r="B11" s="76"/>
      <c r="C11" s="76"/>
      <c r="D11" s="76"/>
      <c r="E11" s="77"/>
    </row>
    <row r="12" spans="1:5" ht="18" customHeight="1">
      <c r="A12" s="40" t="s">
        <v>55</v>
      </c>
      <c r="B12" s="41" t="s">
        <v>56</v>
      </c>
      <c r="C12" s="41" t="s">
        <v>57</v>
      </c>
      <c r="D12" s="41" t="s">
        <v>58</v>
      </c>
      <c r="E12" s="42" t="s">
        <v>59</v>
      </c>
    </row>
    <row r="13" spans="1:5">
      <c r="A13" s="4" t="s">
        <v>60</v>
      </c>
      <c r="B13" s="43">
        <f>B5</f>
        <v>1500000</v>
      </c>
      <c r="C13" s="43">
        <f>B6</f>
        <v>7000000</v>
      </c>
      <c r="D13" s="44">
        <f>C13-B13</f>
        <v>5500000</v>
      </c>
      <c r="E13" s="45">
        <f>D13</f>
        <v>5500000</v>
      </c>
    </row>
    <row r="14" spans="1:5">
      <c r="A14" s="10" t="s">
        <v>61</v>
      </c>
      <c r="B14" s="43">
        <f>B5</f>
        <v>1500000</v>
      </c>
      <c r="C14" s="43">
        <f>B6</f>
        <v>7000000</v>
      </c>
      <c r="D14" s="44">
        <f>C14-B14</f>
        <v>5500000</v>
      </c>
      <c r="E14" s="45">
        <f>E13+D14</f>
        <v>11000000</v>
      </c>
    </row>
    <row r="15" spans="1:5">
      <c r="A15" s="46" t="s">
        <v>62</v>
      </c>
      <c r="B15" s="43">
        <f>B5</f>
        <v>1500000</v>
      </c>
      <c r="C15" s="43">
        <f>B6</f>
        <v>7000000</v>
      </c>
      <c r="D15" s="44">
        <f>C15-B15</f>
        <v>5500000</v>
      </c>
      <c r="E15" s="45">
        <f>E14+D15</f>
        <v>16500000</v>
      </c>
    </row>
    <row r="16" spans="1:5" ht="19.95" customHeight="1">
      <c r="A16" s="47" t="s">
        <v>63</v>
      </c>
      <c r="B16" s="48">
        <f>SUM(B13:B15)</f>
        <v>4500000</v>
      </c>
      <c r="C16" s="48">
        <f>SUM(C13:C15)</f>
        <v>21000000</v>
      </c>
      <c r="D16" s="48">
        <f>SUM(D13:D15)</f>
        <v>16500000</v>
      </c>
      <c r="E16" s="6"/>
    </row>
    <row r="17" spans="1:5" ht="7.95" customHeight="1">
      <c r="A17" s="4"/>
      <c r="B17" s="5"/>
      <c r="C17" s="5"/>
      <c r="D17" s="5"/>
      <c r="E17" s="6"/>
    </row>
    <row r="18" spans="1:5" ht="19.95" customHeight="1">
      <c r="A18" s="75" t="s">
        <v>64</v>
      </c>
      <c r="B18" s="76"/>
      <c r="C18" s="76"/>
      <c r="D18" s="76"/>
      <c r="E18" s="77"/>
    </row>
    <row r="19" spans="1:5" ht="18" customHeight="1">
      <c r="A19" s="40" t="s">
        <v>65</v>
      </c>
      <c r="B19" s="41" t="s">
        <v>66</v>
      </c>
      <c r="C19" s="41" t="s">
        <v>58</v>
      </c>
      <c r="D19" s="41" t="s">
        <v>52</v>
      </c>
      <c r="E19" s="6"/>
    </row>
    <row r="20" spans="1:5">
      <c r="A20" s="4" t="s">
        <v>67</v>
      </c>
      <c r="B20" s="43">
        <f>B6*0.5</f>
        <v>3500000</v>
      </c>
      <c r="C20" s="43">
        <f>B20-B5</f>
        <v>2000000</v>
      </c>
      <c r="D20" s="49">
        <f>(B20-B5)/B5</f>
        <v>1.3333333333333333</v>
      </c>
      <c r="E20" s="6"/>
    </row>
    <row r="21" spans="1:5" ht="15" thickBot="1">
      <c r="A21" s="10" t="s">
        <v>68</v>
      </c>
      <c r="B21" s="43">
        <f>B6*0.75</f>
        <v>5250000</v>
      </c>
      <c r="C21" s="43">
        <f>B21-B5</f>
        <v>3750000</v>
      </c>
      <c r="D21" s="49">
        <f>(B21-B5)/B5</f>
        <v>2.5</v>
      </c>
      <c r="E21" s="6"/>
    </row>
    <row r="22" spans="1:5" ht="15.6" thickTop="1" thickBot="1">
      <c r="A22" s="50" t="s">
        <v>69</v>
      </c>
      <c r="B22" s="33">
        <f>B6</f>
        <v>7000000</v>
      </c>
      <c r="C22" s="33">
        <f>B22-B5</f>
        <v>5500000</v>
      </c>
      <c r="D22" s="34">
        <f>(B22-B5)/B5</f>
        <v>3.6666666666666665</v>
      </c>
      <c r="E22" s="6"/>
    </row>
    <row r="23" spans="1:5" ht="15" thickTop="1">
      <c r="A23" s="10" t="s">
        <v>70</v>
      </c>
      <c r="B23" s="43">
        <f>B6*1.25</f>
        <v>8750000</v>
      </c>
      <c r="C23" s="43">
        <f>B23-B5</f>
        <v>7250000</v>
      </c>
      <c r="D23" s="49">
        <f>(B23-B5)/B5</f>
        <v>4.833333333333333</v>
      </c>
      <c r="E23" s="6"/>
    </row>
    <row r="24" spans="1:5" ht="7.95" customHeight="1" thickBot="1">
      <c r="A24" s="4"/>
      <c r="B24" s="5"/>
      <c r="C24" s="5"/>
      <c r="D24" s="5"/>
      <c r="E24" s="6"/>
    </row>
    <row r="25" spans="1:5" ht="28.05" customHeight="1" thickTop="1" thickBot="1">
      <c r="A25" s="78" t="s">
        <v>71</v>
      </c>
      <c r="B25" s="79"/>
      <c r="C25" s="79"/>
      <c r="D25" s="80"/>
      <c r="E25" s="6"/>
    </row>
    <row r="26" spans="1:5" ht="22.05" customHeight="1" thickTop="1" thickBot="1">
      <c r="A26" s="57" t="s">
        <v>72</v>
      </c>
      <c r="B26" s="58"/>
      <c r="C26" s="58"/>
      <c r="D26" s="59"/>
      <c r="E26" s="6"/>
    </row>
    <row r="27" spans="1:5" ht="18" customHeight="1" thickTop="1" thickBot="1">
      <c r="A27" s="83" t="s">
        <v>73</v>
      </c>
      <c r="B27" s="84"/>
      <c r="C27" s="84"/>
      <c r="D27" s="85"/>
      <c r="E27" s="6"/>
    </row>
    <row r="28" spans="1:5" ht="18" customHeight="1" thickTop="1" thickBot="1">
      <c r="A28" s="60" t="s">
        <v>74</v>
      </c>
      <c r="B28" s="61"/>
      <c r="C28" s="61"/>
      <c r="D28" s="62"/>
      <c r="E28" s="6"/>
    </row>
    <row r="29" spans="1:5" ht="18" customHeight="1" thickTop="1" thickBot="1">
      <c r="A29" s="63" t="s">
        <v>75</v>
      </c>
      <c r="B29" s="64"/>
      <c r="C29" s="64"/>
      <c r="D29" s="65"/>
      <c r="E29" s="6"/>
    </row>
    <row r="30" spans="1:5" ht="18" customHeight="1" thickTop="1" thickBot="1">
      <c r="A30" s="66" t="s">
        <v>76</v>
      </c>
      <c r="B30" s="67"/>
      <c r="C30" s="67"/>
      <c r="D30" s="68"/>
      <c r="E30" s="6"/>
    </row>
    <row r="31" spans="1:5" ht="18" customHeight="1" thickTop="1" thickBot="1">
      <c r="A31" s="69" t="s">
        <v>77</v>
      </c>
      <c r="B31" s="70"/>
      <c r="C31" s="70"/>
      <c r="D31" s="71"/>
      <c r="E31" s="20"/>
    </row>
    <row r="32" spans="1:5" ht="15" thickTop="1"/>
  </sheetData>
  <mergeCells count="11">
    <mergeCell ref="A31:D31"/>
    <mergeCell ref="A1:E1"/>
    <mergeCell ref="A3:E3"/>
    <mergeCell ref="A11:E11"/>
    <mergeCell ref="A18:E18"/>
    <mergeCell ref="A25:D25"/>
    <mergeCell ref="A26:D26"/>
    <mergeCell ref="A27:D27"/>
    <mergeCell ref="A28:D28"/>
    <mergeCell ref="A29:D29"/>
    <mergeCell ref="A30:D30"/>
  </mergeCells>
  <phoneticPr fontId="15" type="noConversion"/>
  <conditionalFormatting sqref="B8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State</vt:lpstr>
      <vt:lpstr>Proposed</vt:lpstr>
      <vt:lpstr>ROI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Praveen Reddy</dc:creator>
  <cp:lastModifiedBy>B Praveen Reddy</cp:lastModifiedBy>
  <dcterms:created xsi:type="dcterms:W3CDTF">2026-03-19T22:02:17Z</dcterms:created>
  <dcterms:modified xsi:type="dcterms:W3CDTF">2026-03-21T01:58:43Z</dcterms:modified>
</cp:coreProperties>
</file>